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s MCU5" sheetId="1" state="visible" r:id="rId1"/>
    <sheet name="Resumen" sheetId="2" state="visible" r:id="rId2"/>
  </sheets>
  <definedNames>
    <definedName name="_xlnm._FilterDatabase" localSheetId="0" hidden="1">'Controles MCU5'!$A$1:$H$48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sz val="11"/>
    </font>
    <font>
      <name val="Calibri"/>
      <b val="1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2E74B5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2" fillId="3" borderId="0" applyAlignment="1" pivotButton="0" quotePrefix="0" xfId="0">
      <alignment wrapText="1"/>
    </xf>
    <xf numFmtId="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30" customWidth="1" min="4" max="4"/>
    <col width="34" customWidth="1" min="5" max="5"/>
    <col width="50" customWidth="1" min="6" max="6"/>
    <col width="16" customWidth="1" min="7" max="7"/>
    <col width="60" customWidth="1" min="8" max="8"/>
  </cols>
  <sheetData>
    <row r="1">
      <c r="A1" s="1" t="inlineStr">
        <is>
          <t>Función MCU 5.0</t>
        </is>
      </c>
      <c r="B1" s="1" t="inlineStr">
        <is>
          <t>Resultado/Control esperado</t>
        </is>
      </c>
      <c r="C1" s="1" t="inlineStr">
        <is>
          <t>Aplica (Sí/No/N.A.)</t>
        </is>
      </c>
      <c r="D1" s="1" t="inlineStr">
        <is>
          <t>Justificación si N.A.</t>
        </is>
      </c>
      <c r="E1" s="1" t="inlineStr">
        <is>
          <t>Evidencia necesaria</t>
        </is>
      </c>
      <c r="F1" s="1" t="inlineStr">
        <is>
          <t>Cómo se demuestra en la auditoría</t>
        </is>
      </c>
      <c r="G1" s="1" t="inlineStr">
        <is>
          <t>Estado al 07/10/2026</t>
        </is>
      </c>
      <c r="H1" s="1" t="inlineStr">
        <is>
          <t>Evidencia en el repo / brecha</t>
        </is>
      </c>
    </row>
    <row r="2">
      <c r="A2" s="3" t="inlineStr">
        <is>
          <t>Gobernar</t>
        </is>
      </c>
      <c r="B2" s="3" t="inlineStr">
        <is>
          <t>Política de ciberseguridad aprobada y comunicada</t>
        </is>
      </c>
      <c r="C2" s="3" t="inlineStr">
        <is>
          <t>Sí</t>
        </is>
      </c>
      <c r="D2" s="3" t="inlineStr"/>
      <c r="E2" s="3" t="inlineStr">
        <is>
          <t>Política firmada</t>
        </is>
      </c>
      <c r="F2" s="3" t="inlineStr">
        <is>
          <t>Presentar la política aprobada con fecha y firma de la Dirección</t>
        </is>
      </c>
      <c r="G2" s="4" t="inlineStr">
        <is>
          <t>Parcial</t>
        </is>
      </c>
      <c r="H2" s="5" t="inlineStr">
        <is>
          <t>docs/01-politica-seguridad.md (borrador 07/10). Falta aprobación de la Dirección (simulada).</t>
        </is>
      </c>
    </row>
    <row r="3">
      <c r="A3" s="3" t="inlineStr">
        <is>
          <t>Gobernar</t>
        </is>
      </c>
      <c r="B3" s="3" t="inlineStr">
        <is>
          <t>Estrategia de ciberseguridad alineada al negocio</t>
        </is>
      </c>
      <c r="C3" s="3" t="inlineStr">
        <is>
          <t>Sí</t>
        </is>
      </c>
      <c r="D3" s="3" t="inlineStr"/>
      <c r="E3" s="3" t="inlineStr">
        <is>
          <t>Estrategia/plan anual</t>
        </is>
      </c>
      <c r="F3" s="3" t="inlineStr">
        <is>
          <t>Mostrar el plan anual y su presentación a la Dirección</t>
        </is>
      </c>
      <c r="G3" s="4" t="inlineStr">
        <is>
          <t>Parcial</t>
        </is>
      </c>
      <c r="H3" s="5" t="inlineStr">
        <is>
          <t>docs/40-consigna-propia.md: procesos y datos críticos de FinSegura → stack que los protege. Falta plan anual.</t>
        </is>
      </c>
    </row>
    <row r="4">
      <c r="A4" s="3" t="inlineStr">
        <is>
          <t>Gobernar</t>
        </is>
      </c>
      <c r="B4" s="3" t="inlineStr">
        <is>
          <t>Roles y responsabilidades claros (RSI, comité, dueños)</t>
        </is>
      </c>
      <c r="C4" s="3" t="inlineStr">
        <is>
          <t>Sí</t>
        </is>
      </c>
      <c r="D4" s="3" t="inlineStr"/>
      <c r="E4" s="3" t="inlineStr">
        <is>
          <t>Matriz RACI / organigrama</t>
        </is>
      </c>
      <c r="F4" s="3" t="inlineStr">
        <is>
          <t>Desplegar la matriz RACI con responsables por proceso</t>
        </is>
      </c>
      <c r="G4" s="4" t="inlineStr">
        <is>
          <t>Parcial</t>
        </is>
      </c>
      <c r="H4" s="5" t="inlineStr">
        <is>
          <t>docs/excel/03-matriz-raci-mcu5.xlsx (16 procesos). Asignación de roles del equipo a confirmar.</t>
        </is>
      </c>
    </row>
    <row r="5">
      <c r="A5" s="3" t="inlineStr">
        <is>
          <t>Gobernar</t>
        </is>
      </c>
      <c r="B5" s="3" t="inlineStr">
        <is>
          <t>Programa de gestión de riesgo institucional</t>
        </is>
      </c>
      <c r="C5" s="3" t="inlineStr">
        <is>
          <t>Sí</t>
        </is>
      </c>
      <c r="D5" s="3" t="inlineStr"/>
      <c r="E5" s="3" t="inlineStr">
        <is>
          <t>Análisis de riesgos</t>
        </is>
      </c>
      <c r="F5" s="3" t="inlineStr">
        <is>
          <t>Presentar matriz de riesgos con tratamiento y riesgo residual aceptado</t>
        </is>
      </c>
      <c r="G5" s="4" t="inlineStr">
        <is>
          <t>Parcial</t>
        </is>
      </c>
      <c r="H5" s="5" t="inlineStr">
        <is>
          <t>docs/03-analisis-riesgos.md (borrador 07/10).</t>
        </is>
      </c>
    </row>
    <row r="6">
      <c r="A6" s="3" t="inlineStr">
        <is>
          <t>Gobernar</t>
        </is>
      </c>
      <c r="B6" s="3" t="inlineStr">
        <is>
          <t>Gestión de cadena de suministro y terceros</t>
        </is>
      </c>
      <c r="C6" s="3" t="inlineStr">
        <is>
          <t>Sí</t>
        </is>
      </c>
      <c r="D6" s="3" t="inlineStr"/>
      <c r="E6" s="3" t="inlineStr">
        <is>
          <t>Análisis de dependencias</t>
        </is>
      </c>
      <c r="F6" s="3" t="inlineStr">
        <is>
          <t>Listar servidores/proveedores y su evaluación</t>
        </is>
      </c>
      <c r="G6" s="4" t="inlineStr">
        <is>
          <t>Parcial</t>
        </is>
      </c>
      <c r="H6" s="5" t="inlineStr">
        <is>
          <t>Terceros = imágenes Docker públicas, GitHub, boxes de Vagrant (docs/01 §5). Brecha: 4 imágenes en :latest (suricata, mailserver, cowrie, DVWA) → fijar versión.</t>
        </is>
      </c>
    </row>
    <row r="7">
      <c r="A7" s="3" t="inlineStr">
        <is>
          <t>Gobernar</t>
        </is>
      </c>
      <c r="B7" s="3" t="inlineStr">
        <is>
          <t>Marco de cumplimiento (MCU5, BCU, ISO, COBIT, URCDP)</t>
        </is>
      </c>
      <c r="C7" s="3" t="inlineStr">
        <is>
          <t>Sí</t>
        </is>
      </c>
      <c r="D7" s="3" t="inlineStr"/>
      <c r="E7" s="3" t="inlineStr">
        <is>
          <t>SoA + brecha MCU</t>
        </is>
      </c>
      <c r="F7" s="3" t="inlineStr">
        <is>
          <t>Mostrar la SoA y la brecha por función con perfil Avanzado</t>
        </is>
      </c>
      <c r="G7" s="6" t="inlineStr">
        <is>
          <t>Parcial</t>
        </is>
      </c>
      <c r="H7" s="5" t="inlineStr">
        <is>
          <t>docs/11-soa-plan-tratamiento.md (93 controles ISO: 68 aplican, 25 N.A.). Este Excel es la base de la brecha MCU.</t>
        </is>
      </c>
    </row>
    <row r="8">
      <c r="A8" s="3" t="inlineStr">
        <is>
          <t>Gobernar</t>
        </is>
      </c>
      <c r="B8" s="3" t="inlineStr">
        <is>
          <t>Presupuesto y recursos de seguridad</t>
        </is>
      </c>
      <c r="C8" s="3" t="inlineStr">
        <is>
          <t>Sí</t>
        </is>
      </c>
      <c r="D8" s="3" t="inlineStr"/>
      <c r="E8" s="3" t="inlineStr">
        <is>
          <t>Plan de inversión</t>
        </is>
      </c>
      <c r="F8" s="3" t="inlineStr">
        <is>
          <t>Presentar carta con dotación de recursos</t>
        </is>
      </c>
      <c r="G8" s="4" t="inlineStr">
        <is>
          <t>Parcial</t>
        </is>
      </c>
      <c r="H8" s="5" t="inlineStr">
        <is>
          <t>Dotación técnica documentada: infra/README.md (presupuesto de RAM por stack, ~8-9 GB) y vagrant/ (16 GB). Presupuesto monetario: no aplica a un laboratorio académico.</t>
        </is>
      </c>
    </row>
    <row r="9">
      <c r="A9" s="3" t="inlineStr">
        <is>
          <t>Gobernar</t>
        </is>
      </c>
      <c r="B9" s="3" t="inlineStr">
        <is>
          <t>Revisión periódica de gobierno por la Dirección</t>
        </is>
      </c>
      <c r="C9" s="3" t="inlineStr">
        <is>
          <t>Sí</t>
        </is>
      </c>
      <c r="D9" s="3" t="inlineStr"/>
      <c r="E9" s="3" t="inlineStr">
        <is>
          <t>Actas de comité</t>
        </is>
      </c>
      <c r="F9" s="3" t="inlineStr">
        <is>
          <t>Mostrar actas de reuniones de seguimiento</t>
        </is>
      </c>
      <c r="G9" s="4" t="inlineStr">
        <is>
          <t>Parcial</t>
        </is>
      </c>
      <c r="H9" s="5" t="inlineStr">
        <is>
          <t>brain/decisions.md: decisiones fechadas con motivo y alternativas (funciona como actas del equipo). Actas formales: pendientes.</t>
        </is>
      </c>
    </row>
    <row r="10">
      <c r="A10" s="3" t="inlineStr">
        <is>
          <t>Identificar</t>
        </is>
      </c>
      <c r="B10" s="3" t="inlineStr">
        <is>
          <t>Inventario de activos de información</t>
        </is>
      </c>
      <c r="C10" s="3" t="inlineStr">
        <is>
          <t>Sí</t>
        </is>
      </c>
      <c r="D10" s="3" t="inlineStr"/>
      <c r="E10" s="3" t="inlineStr">
        <is>
          <t>Registro de activos (Excel MCU)</t>
        </is>
      </c>
      <c r="F10" s="3" t="inlineStr">
        <is>
          <t>Desplegar el Excel de activos completo y actualizado</t>
        </is>
      </c>
      <c r="G10" s="7" t="inlineStr">
        <is>
          <t>Implementado</t>
        </is>
      </c>
      <c r="H10" s="5" t="inlineStr">
        <is>
          <t>docs/excel/02-registro-activos-mcu5.xlsx: A01-A22 (hosts, servicios, datos, consolas, VLANs).</t>
        </is>
      </c>
    </row>
    <row r="11">
      <c r="A11" s="3" t="inlineStr">
        <is>
          <t>Identificar</t>
        </is>
      </c>
      <c r="B11" s="3" t="inlineStr">
        <is>
          <t>Propietarios de activos y clasificación</t>
        </is>
      </c>
      <c r="C11" s="3" t="inlineStr">
        <is>
          <t>Sí</t>
        </is>
      </c>
      <c r="D11" s="3" t="inlineStr"/>
      <c r="E11" s="3" t="inlineStr">
        <is>
          <t>Registro de activos</t>
        </is>
      </c>
      <c r="F11" s="3" t="inlineStr">
        <is>
          <t>Mostrar que cada activo tiene dueño y clasificación</t>
        </is>
      </c>
      <c r="G11" s="4" t="inlineStr">
        <is>
          <t>Parcial</t>
        </is>
      </c>
      <c r="H11" s="5" t="inlineStr">
        <is>
          <t>excel/02 columnas Dueño / Clasificación / Criticidad. Propuesta a revisar entre los dos.</t>
        </is>
      </c>
    </row>
    <row r="12">
      <c r="A12" s="3" t="inlineStr">
        <is>
          <t>Identificar</t>
        </is>
      </c>
      <c r="B12" s="3" t="inlineStr">
        <is>
          <t>Análisis de impacto en el negocio (BIA)</t>
        </is>
      </c>
      <c r="C12" s="3" t="inlineStr">
        <is>
          <t>Sí</t>
        </is>
      </c>
      <c r="D12" s="3" t="inlineStr"/>
      <c r="E12" s="3" t="inlineStr">
        <is>
          <t>Matriz de criticidad</t>
        </is>
      </c>
      <c r="F12" s="3" t="inlineStr">
        <is>
          <t>Presentar procesos críticos y activos que los soportan</t>
        </is>
      </c>
      <c r="G12" s="4" t="inlineStr">
        <is>
          <t>Parcial</t>
        </is>
      </c>
      <c r="H12" s="5" t="inlineStr">
        <is>
          <t>Procesos críticos (docs/40 §1) + criticidad por activo (excel/02). BIA formal con RTO/RPO: docs/06 (pendiente).</t>
        </is>
      </c>
    </row>
    <row r="13">
      <c r="A13" s="3" t="inlineStr">
        <is>
          <t>Identificar</t>
        </is>
      </c>
      <c r="B13" s="3" t="inlineStr">
        <is>
          <t>Evaluación de riesgos de ciberseguridad</t>
        </is>
      </c>
      <c r="C13" s="3" t="inlineStr">
        <is>
          <t>Sí</t>
        </is>
      </c>
      <c r="D13" s="3" t="inlineStr"/>
      <c r="E13" s="3" t="inlineStr">
        <is>
          <t>Análisis de riesgos</t>
        </is>
      </c>
      <c r="F13" s="3" t="inlineStr">
        <is>
          <t>Presentar matriz 5x5 con tratamiento del riesgo</t>
        </is>
      </c>
      <c r="G13" s="4" t="inlineStr">
        <is>
          <t>Parcial</t>
        </is>
      </c>
      <c r="H13" s="5" t="inlineStr">
        <is>
          <t>docs/03-analisis-riesgos.md: matriz 5x5 con tratamiento (borrador 07/10).</t>
        </is>
      </c>
    </row>
    <row r="14">
      <c r="A14" s="3" t="inlineStr">
        <is>
          <t>Identificar</t>
        </is>
      </c>
      <c r="B14" s="3" t="inlineStr">
        <is>
          <t>Comunicación y aceptación de riesgos</t>
        </is>
      </c>
      <c r="C14" s="3" t="inlineStr">
        <is>
          <t>Sí</t>
        </is>
      </c>
      <c r="D14" s="3" t="inlineStr"/>
      <c r="E14" s="3" t="inlineStr">
        <is>
          <t>Acta de aceptación</t>
        </is>
      </c>
      <c r="F14" s="3" t="inlineStr">
        <is>
          <t>Mostrar riesgo residual aceptado y firmado</t>
        </is>
      </c>
      <c r="G14" s="6" t="inlineStr">
        <is>
          <t>Pendiente</t>
        </is>
      </c>
      <c r="H14" s="5" t="inlineStr">
        <is>
          <t>Riesgo residual listado en docs/03; acta de aceptación firmada por la Dirección: pendiente.</t>
        </is>
      </c>
    </row>
    <row r="15">
      <c r="A15" s="3" t="inlineStr">
        <is>
          <t>Identificar</t>
        </is>
      </c>
      <c r="B15" s="3" t="inlineStr">
        <is>
          <t>Inventario de vulnerabilidades</t>
        </is>
      </c>
      <c r="C15" s="3" t="inlineStr">
        <is>
          <t>Sí</t>
        </is>
      </c>
      <c r="D15" s="3" t="inlineStr"/>
      <c r="E15" s="3" t="inlineStr">
        <is>
          <t>Registro de vulnerabilidades</t>
        </is>
      </c>
      <c r="F15" s="3" t="inlineStr">
        <is>
          <t>Desplegar el registro con CVSS y estado</t>
        </is>
      </c>
      <c r="G15" s="6" t="inlineStr">
        <is>
          <t>Pendiente</t>
        </is>
      </c>
      <c r="H15" s="5" t="inlineStr">
        <is>
          <t>docs/10-gestion-vulnerabilidades (pendiente). RF-14: escaneo antes/después de los controles.</t>
        </is>
      </c>
    </row>
    <row r="16">
      <c r="A16" s="3" t="inlineStr">
        <is>
          <t>Identificar</t>
        </is>
      </c>
      <c r="B16" s="3" t="inlineStr">
        <is>
          <t>Mapa de datos personales (URCDP)</t>
        </is>
      </c>
      <c r="C16" s="3" t="inlineStr">
        <is>
          <t>Sí</t>
        </is>
      </c>
      <c r="D16" s="3" t="inlineStr"/>
      <c r="E16" s="3" t="inlineStr">
        <is>
          <t>Registro de bases de datos</t>
        </is>
      </c>
      <c r="F16" s="3" t="inlineStr">
        <is>
          <t>Listar bases con datos personales y su tratamiento</t>
        </is>
      </c>
      <c r="G16" s="4" t="inlineStr">
        <is>
          <t>Parcial</t>
        </is>
      </c>
      <c r="H16" s="5" t="inlineStr">
        <is>
          <t>excel/02 columna 'Dato personal': A04 base de clientes, A13 base de Keycloak, etc. Falta registro de base ante URCDP (simulado).</t>
        </is>
      </c>
    </row>
    <row r="17">
      <c r="A17" s="3" t="inlineStr">
        <is>
          <t>Identificar</t>
        </is>
      </c>
      <c r="B17" s="3" t="inlineStr">
        <is>
          <t>Identificación de dependencias externas</t>
        </is>
      </c>
      <c r="C17" s="3" t="inlineStr">
        <is>
          <t>Sí</t>
        </is>
      </c>
      <c r="D17" s="3" t="inlineStr"/>
      <c r="E17" s="3" t="inlineStr">
        <is>
          <t>Diagrama de arquitectura</t>
        </is>
      </c>
      <c r="F17" s="3" t="inlineStr">
        <is>
          <t>Mostrar servicios externos/integrados en el diagrama</t>
        </is>
      </c>
      <c r="G17" s="4" t="inlineStr">
        <is>
          <t>Parcial</t>
        </is>
      </c>
      <c r="H17" s="5" t="inlineStr">
        <is>
          <t>docs/00-arquitectura.md (diagrama) + docs/01 §5 (terceros). Falta marcarlas explícitamente en el diagrama.</t>
        </is>
      </c>
    </row>
    <row r="18">
      <c r="A18" s="3" t="inlineStr">
        <is>
          <t>Proteger</t>
        </is>
      </c>
      <c r="B18" s="3" t="inlineStr">
        <is>
          <t>Gestión de identidades y credenciales</t>
        </is>
      </c>
      <c r="C18" s="3" t="inlineStr">
        <is>
          <t>Sí</t>
        </is>
      </c>
      <c r="D18" s="3" t="inlineStr"/>
      <c r="E18" s="3" t="inlineStr">
        <is>
          <t>Configuración IAM</t>
        </is>
      </c>
      <c r="F18" s="3" t="inlineStr">
        <is>
          <t>Demostrar alta/baja de usuarios y políticas de credenciales</t>
        </is>
      </c>
      <c r="G18" s="6" t="inlineStr">
        <is>
          <t>Pendiente</t>
        </is>
      </c>
      <c r="H18" s="5" t="inlineStr">
        <is>
          <t>Keycloak (A12) corre con certificados TLS propios (infra/identity/certs/, commit 40364c8) pero todavía sin realm ni usuarios. docs/09-gestion-accesos.md define la política.</t>
        </is>
      </c>
    </row>
    <row r="19">
      <c r="A19" s="3" t="inlineStr">
        <is>
          <t>Proteger</t>
        </is>
      </c>
      <c r="B19" s="3" t="inlineStr">
        <is>
          <t>Autenticación multifactor (TOTP/WebAuthn/Hello)</t>
        </is>
      </c>
      <c r="C19" s="3" t="inlineStr">
        <is>
          <t>Sí</t>
        </is>
      </c>
      <c r="D19" s="3" t="inlineStr">
        <is>
          <t>Windows Hello: N.A. — no hay endpoints Windows con TPM en el laboratorio (todo es Linux/contenedores); WebAuthn cubre la clase FIDO2. TOTP y WebAuthn sí aplican.</t>
        </is>
      </c>
      <c r="E19" s="3" t="inlineStr">
        <is>
          <t>Config. + capturas</t>
        </is>
      </c>
      <c r="F19" s="3" t="inlineStr">
        <is>
          <t>Registrar login con 2 factores en vivo</t>
        </is>
      </c>
      <c r="G19" s="6" t="inlineStr">
        <is>
          <t>Pendiente</t>
        </is>
      </c>
      <c r="H19" s="5" t="inlineStr">
        <is>
          <t>RF-12. MFA en Keycloak sin configurar (TLS de base lista). Dashboard de Wazuh hoy sin login (A08): brecha.</t>
        </is>
      </c>
    </row>
    <row r="20">
      <c r="A20" s="3" t="inlineStr">
        <is>
          <t>Proteger</t>
        </is>
      </c>
      <c r="B20" s="3" t="inlineStr">
        <is>
          <t>Revisión de privilegios (mínimo privilegio)</t>
        </is>
      </c>
      <c r="C20" s="3" t="inlineStr">
        <is>
          <t>Sí</t>
        </is>
      </c>
      <c r="D20" s="3" t="inlineStr"/>
      <c r="E20" s="3" t="inlineStr">
        <is>
          <t>Matriz de accesos</t>
        </is>
      </c>
      <c r="F20" s="3" t="inlineStr">
        <is>
          <t>Mostrar revisión periódica de privilegios</t>
        </is>
      </c>
      <c r="G20" s="4" t="inlineStr">
        <is>
          <t>Parcial</t>
        </is>
      </c>
      <c r="H20" s="5" t="inlineStr">
        <is>
          <t>Segmentación por VLAN (Gestión aislada) + RACI. Brechas: credenciales por defecto en .env.example, dashboard sin login. Revisión periódica: pendiente.</t>
        </is>
      </c>
    </row>
    <row r="21">
      <c r="A21" s="3" t="inlineStr">
        <is>
          <t>Proteger</t>
        </is>
      </c>
      <c r="B21" s="3" t="inlineStr">
        <is>
          <t>Protección de datos (cifrado en reposo y en tránsito)</t>
        </is>
      </c>
      <c r="C21" s="3" t="inlineStr">
        <is>
          <t>Sí</t>
        </is>
      </c>
      <c r="D21" s="3" t="inlineStr"/>
      <c r="E21" s="3" t="inlineStr">
        <is>
          <t>Cifrado de BD y TLS</t>
        </is>
      </c>
      <c r="F21" s="3" t="inlineStr">
        <is>
          <t>Demostrar cifrado de bóveda/BD y TLS 1.2+</t>
        </is>
      </c>
      <c r="G21" s="6" t="inlineStr">
        <is>
          <t>Parcial</t>
        </is>
      </c>
      <c r="H21" s="5" t="inlineStr">
        <is>
          <t>TLS: mail (autofirmado) + Keycloak (certs propios, commit 40364c8). Indexer sin TLS interno (plugin de seguridad desactivado), bases sin cifrado en reposo. Tratar o justificar en docs/03.</t>
        </is>
      </c>
    </row>
    <row r="22">
      <c r="A22" s="3" t="inlineStr">
        <is>
          <t>Proteger</t>
        </is>
      </c>
      <c r="B22" s="3" t="inlineStr">
        <is>
          <t>Respaldos y prueba de restauración</t>
        </is>
      </c>
      <c r="C22" s="3" t="inlineStr">
        <is>
          <t>Sí</t>
        </is>
      </c>
      <c r="D22" s="3" t="inlineStr"/>
      <c r="E22" s="3" t="inlineStr">
        <is>
          <t>Registro de backup</t>
        </is>
      </c>
      <c r="F22" s="3" t="inlineStr">
        <is>
          <t>Restaurar un respaldo en vivo ante la auditoría</t>
        </is>
      </c>
      <c r="G22" s="6" t="inlineStr">
        <is>
          <t>Pendiente</t>
        </is>
      </c>
      <c r="H22" s="5" t="inlineStr">
        <is>
          <t>RF-13. El repo + vagrant/ reconstruyen la configuración desde cero, pero no hay backup de datos (índices, bases) ni prueba de restauración.</t>
        </is>
      </c>
    </row>
    <row r="23">
      <c r="A23" s="3" t="inlineStr">
        <is>
          <t>Proteger</t>
        </is>
      </c>
      <c r="B23" s="3" t="inlineStr">
        <is>
          <t>Capacitación y concientización del personal</t>
        </is>
      </c>
      <c r="C23" s="3" t="inlineStr">
        <is>
          <t>N.A.</t>
        </is>
      </c>
      <c r="D23" s="3" t="inlineStr">
        <is>
          <t>Empresa ficticia sin personal real: no hay asistencia que registrar. El plan se enuncia en docs/01 §6. A confirmar con el docente.</t>
        </is>
      </c>
      <c r="E23" s="3" t="inlineStr">
        <is>
          <t>Plan de capacitación</t>
        </is>
      </c>
      <c r="F23" s="3" t="inlineStr">
        <is>
          <t>Presentar plan y registro de asistencia</t>
        </is>
      </c>
      <c r="G23" s="8" t="inlineStr">
        <is>
          <t>N.A.</t>
        </is>
      </c>
      <c r="H23" s="5" t="inlineStr">
        <is>
          <t>docs/01-politica-seguridad.md §6.</t>
        </is>
      </c>
    </row>
    <row r="24">
      <c r="A24" s="3" t="inlineStr">
        <is>
          <t>Proteger</t>
        </is>
      </c>
      <c r="B24" s="3" t="inlineStr">
        <is>
          <t>Configuración segura de sistemas</t>
        </is>
      </c>
      <c r="C24" s="3" t="inlineStr">
        <is>
          <t>Sí</t>
        </is>
      </c>
      <c r="D24" s="3" t="inlineStr"/>
      <c r="E24" s="3" t="inlineStr">
        <is>
          <t>Config. endurecida</t>
        </is>
      </c>
      <c r="F24" s="3" t="inlineStr">
        <is>
          <t>Mostrar hardening por checklist</t>
        </is>
      </c>
      <c r="G24" s="4" t="inlineStr">
        <is>
          <t>Parcial</t>
        </is>
      </c>
      <c r="H24" s="5" t="inlineStr">
        <is>
          <t>IP fijas, servicios mínimos por contenedor, segmentación. Brechas: contraseñas por defecto, dashboard sin login, indexer sin seguridad. Checklist de hardening: pendiente.</t>
        </is>
      </c>
    </row>
    <row r="25">
      <c r="A25" s="3" t="inlineStr">
        <is>
          <t>Proteger</t>
        </is>
      </c>
      <c r="B25" s="3" t="inlineStr">
        <is>
          <t>Mantenimiento y parcheo</t>
        </is>
      </c>
      <c r="C25" s="3" t="inlineStr">
        <is>
          <t>Sí</t>
        </is>
      </c>
      <c r="D25" s="3" t="inlineStr"/>
      <c r="E25" s="3" t="inlineStr">
        <is>
          <t>Historial de parches</t>
        </is>
      </c>
      <c r="F25" s="3" t="inlineStr">
        <is>
          <t>Mostrar aplicaciones de parches en el período</t>
        </is>
      </c>
      <c r="G25" s="4" t="inlineStr">
        <is>
          <t>Parcial</t>
        </is>
      </c>
      <c r="H25" s="5" t="inlineStr">
        <is>
          <t>Versiones fijadas en Wazuh 4.9.0, Keycloak 26.0, MySQL 8.0, Postgres 16. Brecha: 4 imágenes en :latest. Historial de parches: pendiente.</t>
        </is>
      </c>
    </row>
    <row r="26">
      <c r="A26" s="3" t="inlineStr">
        <is>
          <t>Proteger</t>
        </is>
      </c>
      <c r="B26" s="3" t="inlineStr">
        <is>
          <t>Protección de endpoints (HIDS/antivirus/EDR)</t>
        </is>
      </c>
      <c r="C26" s="3" t="inlineStr">
        <is>
          <t>Sí</t>
        </is>
      </c>
      <c r="D26" s="3" t="inlineStr"/>
      <c r="E26" s="3" t="inlineStr">
        <is>
          <t>Agentes activos</t>
        </is>
      </c>
      <c r="F26" s="3" t="inlineStr">
        <is>
          <t>Mostrar agentes HIDS conectados al SIEM</t>
        </is>
      </c>
      <c r="G26" s="4" t="inlineStr">
        <is>
          <t>Implementado</t>
        </is>
      </c>
      <c r="H26" s="5" t="inlineStr">
        <is>
          <t>Agentes Wazuh verificados en target-ssh-client (CU-02, 11/10) y target-webapp (CU-03, 11/10). Evidencia en docs/evidencias/CU-02 y CU-03_INC-2026-003.</t>
        </is>
      </c>
    </row>
    <row r="27">
      <c r="A27" s="3" t="inlineStr">
        <is>
          <t>Proteger</t>
        </is>
      </c>
      <c r="B27" s="3" t="inlineStr">
        <is>
          <t>Protección de la red (firewalls, segmentación, IDS/IPS)</t>
        </is>
      </c>
      <c r="C27" s="3" t="inlineStr">
        <is>
          <t>Sí</t>
        </is>
      </c>
      <c r="D27" s="3" t="inlineStr"/>
      <c r="E27" s="3" t="inlineStr">
        <is>
          <t>Diagrama + reglas</t>
        </is>
      </c>
      <c r="F27" s="3" t="inlineStr">
        <is>
          <t>Presentar reglas de firewall y segmentación en vivo</t>
        </is>
      </c>
      <c r="G27" s="7" t="inlineStr">
        <is>
          <t>Implementado</t>
        </is>
      </c>
      <c r="H27" s="5" t="inlineStr">
        <is>
          <t>Router + 4 VLANs con reglas entre dominios (docs/00, docs/40 §2) + Suricata en modo IDS. CU-01 detectado (INC-2026-001). Sin IPS inline ni mirror de tráfico.</t>
        </is>
      </c>
    </row>
    <row r="28">
      <c r="A28" s="3" t="inlineStr">
        <is>
          <t>Proteger</t>
        </is>
      </c>
      <c r="B28" s="3" t="inlineStr">
        <is>
          <t>Gestión de vulnerabilidades técnicas</t>
        </is>
      </c>
      <c r="C28" s="3" t="inlineStr">
        <is>
          <t>Sí</t>
        </is>
      </c>
      <c r="D28" s="3" t="inlineStr"/>
      <c r="E28" s="3" t="inlineStr">
        <is>
          <t>Escaneos + cierre</t>
        </is>
      </c>
      <c r="F28" s="3" t="inlineStr">
        <is>
          <t>Mostrar escaneos y resolución con plazos</t>
        </is>
      </c>
      <c r="G28" s="6" t="inlineStr">
        <is>
          <t>Pendiente</t>
        </is>
      </c>
      <c r="H28" s="5" t="inlineStr">
        <is>
          <t>docs/10 (pendiente).</t>
        </is>
      </c>
    </row>
    <row r="29">
      <c r="A29" s="3" t="inlineStr">
        <is>
          <t>Proteger</t>
        </is>
      </c>
      <c r="B29" s="3" t="inlineStr">
        <is>
          <t>Seguridad en el ciclo de desarrollo (SAST)</t>
        </is>
      </c>
      <c r="C29" s="3" t="inlineStr">
        <is>
          <t>Sí</t>
        </is>
      </c>
      <c r="D29" s="3" t="inlineStr"/>
      <c r="E29" s="3" t="inlineStr">
        <is>
          <t>Informe SAST</t>
        </is>
      </c>
      <c r="F29" s="3" t="inlineStr">
        <is>
          <t>Mostrar informe de semgrep/bandit sin hallazgos críticos</t>
        </is>
      </c>
      <c r="G29" s="6" t="inlineStr">
        <is>
          <t>Pendiente</t>
        </is>
      </c>
      <c r="H29" s="5" t="inlineStr">
        <is>
          <t>No hay código de aplicación propio (DVWA es vulnerable a propósito, fuera de alcance). Aplica a scripts y compose del repo: correr semgrep + gitleaks (pendiente).</t>
        </is>
      </c>
    </row>
    <row r="30">
      <c r="A30" s="3" t="inlineStr">
        <is>
          <t>Detectar</t>
        </is>
      </c>
      <c r="B30" s="3" t="inlineStr">
        <is>
          <t>Monitoreo continuo de la red (NIDS)</t>
        </is>
      </c>
      <c r="C30" s="3" t="inlineStr">
        <is>
          <t>Sí</t>
        </is>
      </c>
      <c r="D30" s="3" t="inlineStr"/>
      <c r="E30" s="3" t="inlineStr">
        <is>
          <t>Reglas Suricata/Zeek</t>
        </is>
      </c>
      <c r="F30" s="3" t="inlineStr">
        <is>
          <t>Mostrar eventos de red capturados recientemente</t>
        </is>
      </c>
      <c r="G30" s="7" t="inlineStr">
        <is>
          <t>Implementado</t>
        </is>
      </c>
      <c r="H30" s="5" t="inlineStr">
        <is>
          <t>Suricata (A09), eve.json → Wazuh. CU-01 visible en el dashboard (05/10). Brecha: solo ve tráfico dirigido a su IP.</t>
        </is>
      </c>
    </row>
    <row r="31">
      <c r="A31" s="3" t="inlineStr">
        <is>
          <t>Detectar</t>
        </is>
      </c>
      <c r="B31" s="3" t="inlineStr">
        <is>
          <t>Monitoreo de hosts (HIDS/FIM)</t>
        </is>
      </c>
      <c r="C31" s="3" t="inlineStr">
        <is>
          <t>Sí</t>
        </is>
      </c>
      <c r="D31" s="3" t="inlineStr"/>
      <c r="E31" s="3" t="inlineStr">
        <is>
          <t>Alertas Wazuh</t>
        </is>
      </c>
      <c r="F31" s="3" t="inlineStr">
        <is>
          <t>Mostrar monitoreo de integridad de archivos</t>
        </is>
      </c>
      <c r="G31" s="4" t="inlineStr">
        <is>
          <t>Implementado</t>
        </is>
      </c>
      <c r="H31" s="5" t="inlineStr">
        <is>
          <t>FIM verificado sobre /var/www/html de target-webapp (CU-03, 11/10): detecta alta de archivo PHP y dispara regla local 100200. Evidencia en docs/evidencias/CU-03_INC-2026-003.</t>
        </is>
      </c>
    </row>
    <row r="32">
      <c r="A32" s="3" t="inlineStr">
        <is>
          <t>Detectar</t>
        </is>
      </c>
      <c r="B32" s="3" t="inlineStr">
        <is>
          <t>Correlación de eventos (SIEM)</t>
        </is>
      </c>
      <c r="C32" s="3" t="inlineStr">
        <is>
          <t>Sí</t>
        </is>
      </c>
      <c r="D32" s="3" t="inlineStr"/>
      <c r="E32" s="3" t="inlineStr">
        <is>
          <t>Dashboards SIEM</t>
        </is>
      </c>
      <c r="F32" s="3" t="inlineStr">
        <is>
          <t>Presentar dashboard con eventos correlacionados</t>
        </is>
      </c>
      <c r="G32" s="4" t="inlineStr">
        <is>
          <t>Parcial</t>
        </is>
      </c>
      <c r="H32" s="5" t="inlineStr">
        <is>
          <t>Wazuh recibe Suricata (verificado) y Cowrie (sin verificar); regla local 100100. Correlación multi-fuente de un mismo ataque (RF-05): no demostrada.</t>
        </is>
      </c>
    </row>
    <row r="33">
      <c r="A33" s="3" t="inlineStr">
        <is>
          <t>Detectar</t>
        </is>
      </c>
      <c r="B33" s="3" t="inlineStr">
        <is>
          <t>Firmas y reglas de detección actualizadas</t>
        </is>
      </c>
      <c r="C33" s="3" t="inlineStr">
        <is>
          <t>Sí</t>
        </is>
      </c>
      <c r="D33" s="3" t="inlineStr"/>
      <c r="E33" s="3" t="inlineStr">
        <is>
          <t>Versión de firmas</t>
        </is>
      </c>
      <c r="F33" s="3" t="inlineStr">
        <is>
          <t>Mostrar fecha de actualización de firmas</t>
        </is>
      </c>
      <c r="G33" s="4" t="inlineStr">
        <is>
          <t>Parcial</t>
        </is>
      </c>
      <c r="H33" s="5" t="inlineStr">
        <is>
          <t>Solo 5 reglas propias (infra/nids/rules/local.rules). No se carga ningún ruleset público (ej. Emerging Threats con suricata-update): brecha frente a RF-03.</t>
        </is>
      </c>
    </row>
    <row r="34">
      <c r="A34" s="3" t="inlineStr">
        <is>
          <t>Detectar</t>
        </is>
      </c>
      <c r="B34" s="3" t="inlineStr">
        <is>
          <t>Pruebas de detección (ejercicios púrpura/red team)</t>
        </is>
      </c>
      <c r="C34" s="3" t="inlineStr">
        <is>
          <t>Sí</t>
        </is>
      </c>
      <c r="D34" s="3" t="inlineStr"/>
      <c r="E34" s="3" t="inlineStr">
        <is>
          <t>Evidencia de simulación</t>
        </is>
      </c>
      <c r="F34" s="3" t="inlineStr">
        <is>
          <t>Presentar al menos un ataque simulado detectado</t>
        </is>
      </c>
      <c r="G34" s="4" t="inlineStr">
        <is>
          <t>Implementado</t>
        </is>
      </c>
      <c r="H34" s="5" t="inlineStr">
        <is>
          <t>CU-01, CU-02 y CU-03 ejecutados y verificados de punta a punta (deteccion -&gt; respuesta -&gt; notificacion), con evidencia en docs/evidencias/. Red Team: 28/10-09/11.</t>
        </is>
      </c>
    </row>
    <row r="35">
      <c r="A35" s="3" t="inlineStr">
        <is>
          <t>Detectar</t>
        </is>
      </c>
      <c r="B35" s="3" t="inlineStr">
        <is>
          <t>Detección de anomalías de comportamiento</t>
        </is>
      </c>
      <c r="C35" s="3" t="inlineStr">
        <is>
          <t>Sí</t>
        </is>
      </c>
      <c r="D35" s="3" t="inlineStr"/>
      <c r="E35" s="3" t="inlineStr">
        <is>
          <t>Regla de anomalía</t>
        </is>
      </c>
      <c r="F35" s="3" t="inlineStr">
        <is>
          <t>Mostrar una regla de comportamiento y su alerta</t>
        </is>
      </c>
      <c r="G35" s="7" t="inlineStr">
        <is>
          <t>Implementado</t>
        </is>
      </c>
      <c r="H35" s="5" t="inlineStr">
        <is>
          <t>Reglas de umbral por origen: 1000001 (≥20 SYN en 10 s) y 1000005 (≥10 ICMP en 5 s); dispararon en CU-01.</t>
        </is>
      </c>
    </row>
    <row r="36">
      <c r="A36" s="3" t="inlineStr">
        <is>
          <t>Detectar</t>
        </is>
      </c>
      <c r="B36" s="3" t="inlineStr">
        <is>
          <t>Alerta y notificación oportuna</t>
        </is>
      </c>
      <c r="C36" s="3" t="inlineStr">
        <is>
          <t>Sí</t>
        </is>
      </c>
      <c r="D36" s="3" t="inlineStr"/>
      <c r="E36" s="3" t="inlineStr">
        <is>
          <t>Canales de alerta</t>
        </is>
      </c>
      <c r="F36" s="3" t="inlineStr">
        <is>
          <t>Demostrar una alerta por mail/webhook/llamada</t>
        </is>
      </c>
      <c r="G36" s="4" t="inlineStr">
        <is>
          <t>Implementado</t>
        </is>
      </c>
      <c r="H36" s="5" t="inlineStr">
        <is>
          <t>Mail automático a soc@lab.local para nivel &gt;=10, verificado de punta a punta en CU-02 (nivel 10) y CU-03 (nivel 12) el 14/10. 2do canal (webhook/Wazo) recortado con justificacion.</t>
        </is>
      </c>
    </row>
    <row r="37">
      <c r="A37" s="3" t="inlineStr">
        <is>
          <t>Detectar</t>
        </is>
      </c>
      <c r="B37" s="3" t="inlineStr">
        <is>
          <t>Monitoreo de los controles de protección</t>
        </is>
      </c>
      <c r="C37" s="3" t="inlineStr">
        <is>
          <t>Sí</t>
        </is>
      </c>
      <c r="D37" s="3" t="inlineStr"/>
      <c r="E37" s="3" t="inlineStr">
        <is>
          <t>Estado de controles</t>
        </is>
      </c>
      <c r="F37" s="3" t="inlineStr">
        <is>
          <t>Mostrar salud de firewalls/agentes en el dashboard</t>
        </is>
      </c>
      <c r="G37" s="6" t="inlineStr">
        <is>
          <t>Pendiente</t>
        </is>
      </c>
      <c r="H37" s="5" t="inlineStr">
        <is>
          <t>agent_control -l lista agentes; salud del firewall no se monitorea desde el SIEM.</t>
        </is>
      </c>
    </row>
    <row r="38">
      <c r="A38" s="3" t="inlineStr">
        <is>
          <t>Responder</t>
        </is>
      </c>
      <c r="B38" s="3" t="inlineStr">
        <is>
          <t>Plan de respuesta a incidentes</t>
        </is>
      </c>
      <c r="C38" s="3" t="inlineStr">
        <is>
          <t>Sí</t>
        </is>
      </c>
      <c r="D38" s="3" t="inlineStr"/>
      <c r="E38" s="3" t="inlineStr">
        <is>
          <t>Procedimiento de incidentes</t>
        </is>
      </c>
      <c r="F38" s="3" t="inlineStr">
        <is>
          <t>Exponer el plan y sus fases</t>
        </is>
      </c>
      <c r="G38" s="4" t="inlineStr">
        <is>
          <t>Parcial</t>
        </is>
      </c>
      <c r="H38" s="5" t="inlineStr">
        <is>
          <t>docs/04-gestion-incidentes.md §3 (borrador): severidades S0-S3, D-C-E-R-L, playbooks por CU.</t>
        </is>
      </c>
    </row>
    <row r="39">
      <c r="A39" s="3" t="inlineStr">
        <is>
          <t>Responder</t>
        </is>
      </c>
      <c r="B39" s="3" t="inlineStr">
        <is>
          <t>Roles y comunicación en respuesta</t>
        </is>
      </c>
      <c r="C39" s="3" t="inlineStr">
        <is>
          <t>Sí</t>
        </is>
      </c>
      <c r="D39" s="3" t="inlineStr"/>
      <c r="E39" s="3" t="inlineStr">
        <is>
          <t>Matriz de comunicación</t>
        </is>
      </c>
      <c r="F39" s="3" t="inlineStr">
        <is>
          <t>Mostrar responsables de comunicación y escalamiento</t>
        </is>
      </c>
      <c r="G39" s="4" t="inlineStr">
        <is>
          <t>Parcial</t>
        </is>
      </c>
      <c r="H39" s="5" t="inlineStr">
        <is>
          <t>excel/03 (RACI) + docs/04 §4 (escalamiento).</t>
        </is>
      </c>
    </row>
    <row r="40">
      <c r="A40" s="3" t="inlineStr">
        <is>
          <t>Responder</t>
        </is>
      </c>
      <c r="B40" s="3" t="inlineStr">
        <is>
          <t>Análisis y contención de incidentes</t>
        </is>
      </c>
      <c r="C40" s="3" t="inlineStr">
        <is>
          <t>Sí</t>
        </is>
      </c>
      <c r="D40" s="3" t="inlineStr"/>
      <c r="E40" s="3" t="inlineStr">
        <is>
          <t>Registros de incidentes</t>
        </is>
      </c>
      <c r="F40" s="3" t="inlineStr">
        <is>
          <t>Presentar un incidente completo (detección a cierre)</t>
        </is>
      </c>
      <c r="G40" s="4" t="inlineStr">
        <is>
          <t>Implementado</t>
        </is>
      </c>
      <c r="H40" s="5" t="inlineStr">
        <is>
          <t>INC-2026-001 cerrado (deteccion). INC-2026-002 y INC-2026-003 cerrados con contencion automatica y notificacion verificadas de punta a punta (14/10).</t>
        </is>
      </c>
    </row>
    <row r="41">
      <c r="A41" s="3" t="inlineStr">
        <is>
          <t>Responder</t>
        </is>
      </c>
      <c r="B41" s="3" t="inlineStr">
        <is>
          <t>Erradicación y recuperación</t>
        </is>
      </c>
      <c r="C41" s="3" t="inlineStr">
        <is>
          <t>Sí</t>
        </is>
      </c>
      <c r="D41" s="3" t="inlineStr"/>
      <c r="E41" s="3" t="inlineStr">
        <is>
          <t>Incidente resuelto</t>
        </is>
      </c>
      <c r="F41" s="3" t="inlineStr">
        <is>
          <t>Mostrar evidencia de la mitigación</t>
        </is>
      </c>
      <c r="G41" s="6" t="inlineStr">
        <is>
          <t>Implementado</t>
        </is>
      </c>
      <c r="H41" s="5" t="inlineStr">
        <is>
          <t>CU-02: IP atacante bloqueada por Active Response, verificado con timestamps reales (MTTR ~0s). CU-03: contenedor aislado preservando TCP 1514 al manager, verificado con timestamps reales (MTTR ~0s). Evidencia en docs/evidencias/.</t>
        </is>
      </c>
    </row>
    <row r="42">
      <c r="A42" s="3" t="inlineStr">
        <is>
          <t>Responder</t>
        </is>
      </c>
      <c r="B42" s="3" t="inlineStr">
        <is>
          <t>Notificación a autoridades (BCU, URCDP, CERTuy)</t>
        </is>
      </c>
      <c r="C42" s="3" t="inlineStr">
        <is>
          <t>Sí</t>
        </is>
      </c>
      <c r="D42" s="3" t="inlineStr"/>
      <c r="E42" s="3" t="inlineStr">
        <is>
          <t>Borradores de notificación</t>
        </is>
      </c>
      <c r="F42" s="3" t="inlineStr">
        <is>
          <t>Presentar notificación simulada completa</t>
        </is>
      </c>
      <c r="G42" s="6" t="inlineStr">
        <is>
          <t>Parcial</t>
        </is>
      </c>
      <c r="H42" s="5" t="inlineStr">
        <is>
          <t>docs/12-notificacion-incidentes.md: ejercicio de escritorio completo (INC-2026-004, BCU+URCDP). Plazos legales BCU/URCDP a confirmar.</t>
        </is>
      </c>
    </row>
    <row r="43">
      <c r="A43" s="3" t="inlineStr">
        <is>
          <t>Responder</t>
        </is>
      </c>
      <c r="B43" s="3" t="inlineStr">
        <is>
          <t>Lecciones aprendidas y mejora</t>
        </is>
      </c>
      <c r="C43" s="3" t="inlineStr">
        <is>
          <t>Sí</t>
        </is>
      </c>
      <c r="D43" s="3" t="inlineStr"/>
      <c r="E43" s="3" t="inlineStr">
        <is>
          <t>Informe de lecciones</t>
        </is>
      </c>
      <c r="F43" s="3" t="inlineStr">
        <is>
          <t>Mostrar acciones correctivas aplicadas</t>
        </is>
      </c>
      <c r="G43" s="7" t="inlineStr">
        <is>
          <t>Implementado</t>
        </is>
      </c>
      <c r="H43" s="5" t="inlineStr">
        <is>
          <t>docs/04 §5 (INC-2026-001) + brain/LEARNINGS.md con acciones aplicadas (ej. orden de arranque corregido 07/10).</t>
        </is>
      </c>
    </row>
    <row r="44">
      <c r="A44" s="3" t="inlineStr">
        <is>
          <t>Recuperar</t>
        </is>
      </c>
      <c r="B44" s="3" t="inlineStr">
        <is>
          <t>Plan de recuperación (BCP/DRP)</t>
        </is>
      </c>
      <c r="C44" s="3" t="inlineStr">
        <is>
          <t>Sí</t>
        </is>
      </c>
      <c r="D44" s="3" t="inlineStr"/>
      <c r="E44" s="3" t="inlineStr">
        <is>
          <t>Plan de continuidad</t>
        </is>
      </c>
      <c r="F44" s="3" t="inlineStr">
        <is>
          <t>Exponer el BCP/DRP con RTO/RPO</t>
        </is>
      </c>
      <c r="G44" s="6" t="inlineStr">
        <is>
          <t>Parcial</t>
        </is>
      </c>
      <c r="H44" s="5" t="inlineStr">
        <is>
          <t>docs/06-plan-continuidad.md: RTO/RPO definidos, inventario de respaldo definido. Prueba de restauración: no ejecutada.</t>
        </is>
      </c>
    </row>
    <row r="45">
      <c r="A45" s="3" t="inlineStr">
        <is>
          <t>Recuperar</t>
        </is>
      </c>
      <c r="B45" s="3" t="inlineStr">
        <is>
          <t>Comunicación de crisis</t>
        </is>
      </c>
      <c r="C45" s="3" t="inlineStr">
        <is>
          <t>Sí</t>
        </is>
      </c>
      <c r="D45" s="3" t="inlineStr"/>
      <c r="E45" s="3" t="inlineStr">
        <is>
          <t>Procedimiento de crisis</t>
        </is>
      </c>
      <c r="F45" s="3" t="inlineStr">
        <is>
          <t>Presentar canales y responsables de crisis</t>
        </is>
      </c>
      <c r="G45" s="6" t="inlineStr">
        <is>
          <t>Parcial</t>
        </is>
      </c>
      <c r="H45" s="5" t="inlineStr">
        <is>
          <t>docs/06-plan-continuidad.md §5: canales y responsables de comunicación de crisis definidos.</t>
        </is>
      </c>
    </row>
    <row r="46">
      <c r="A46" s="3" t="inlineStr">
        <is>
          <t>Recuperar</t>
        </is>
      </c>
      <c r="B46" s="3" t="inlineStr">
        <is>
          <t>Restauración de respaldos validada</t>
        </is>
      </c>
      <c r="C46" s="3" t="inlineStr">
        <is>
          <t>Sí</t>
        </is>
      </c>
      <c r="D46" s="3" t="inlineStr"/>
      <c r="E46" s="3" t="inlineStr">
        <is>
          <t>Prueba de restauración</t>
        </is>
      </c>
      <c r="F46" s="3" t="inlineStr">
        <is>
          <t>Ejecutar/evidenciar una restauración real</t>
        </is>
      </c>
      <c r="G46" s="6" t="inlineStr">
        <is>
          <t>Pendiente</t>
        </is>
      </c>
      <c r="H46" s="5" t="inlineStr">
        <is>
          <t>RF-13 / RNF-08: prueba de restauración del SIEM pendiente.</t>
        </is>
      </c>
    </row>
    <row r="47">
      <c r="A47" s="3" t="inlineStr">
        <is>
          <t>Recuperar</t>
        </is>
      </c>
      <c r="B47" s="3" t="inlineStr">
        <is>
          <t>Reanudación de operaciones</t>
        </is>
      </c>
      <c r="C47" s="3" t="inlineStr">
        <is>
          <t>Sí</t>
        </is>
      </c>
      <c r="D47" s="3" t="inlineStr"/>
      <c r="E47" s="3" t="inlineStr">
        <is>
          <t>Plan de retorno</t>
        </is>
      </c>
      <c r="F47" s="3" t="inlineStr">
        <is>
          <t>Mostrar secuencia de reanudación de servicios</t>
        </is>
      </c>
      <c r="G47" s="4" t="inlineStr">
        <is>
          <t>Parcial</t>
        </is>
      </c>
      <c r="H47" s="5" t="inlineStr">
        <is>
          <t>Secuencia de reanudación definida: orden de arranque de stacks (infra/Makefile, infra/README.md) y redespliegue desde cero (vagrant/). Sin prueba cronometrada.</t>
        </is>
      </c>
    </row>
    <row r="48">
      <c r="A48" s="3" t="inlineStr">
        <is>
          <t>Recuperar</t>
        </is>
      </c>
      <c r="B48" s="3" t="inlineStr">
        <is>
          <t>Mejora continua post-recuperación</t>
        </is>
      </c>
      <c r="C48" s="3" t="inlineStr">
        <is>
          <t>Sí</t>
        </is>
      </c>
      <c r="D48" s="3" t="inlineStr"/>
      <c r="E48" s="3" t="inlineStr">
        <is>
          <t>Acciones de mejora</t>
        </is>
      </c>
      <c r="F48" s="3" t="inlineStr">
        <is>
          <t>Presentar mejoras aplicadas tras las simulaciones</t>
        </is>
      </c>
      <c r="G48" s="4" t="inlineStr">
        <is>
          <t>Parcial</t>
        </is>
      </c>
      <c r="H48" s="5" t="inlineStr">
        <is>
          <t>brain/decisions.md y LEARNINGS.md. Sin simulación de recuperación todavía.</t>
        </is>
      </c>
    </row>
  </sheetData>
  <autoFilter ref="A1:H48"/>
  <dataValidations count="2">
    <dataValidation sqref="C2:C48" showDropDown="0" showInputMessage="0" showErrorMessage="0" allowBlank="0" type="list">
      <formula1>"Sí,No,N.A."</formula1>
    </dataValidation>
    <dataValidation sqref="G2:G48" showDropDown="0" showInputMessage="0" showErrorMessage="0" allowBlank="0" type="list">
      <formula1>"Implementado,Parcial,Pendiente,N.A."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Función</t>
        </is>
      </c>
      <c r="B1" s="9" t="inlineStr">
        <is>
          <t>Controles</t>
        </is>
      </c>
      <c r="C1" s="9" t="inlineStr">
        <is>
          <t>Implementado</t>
        </is>
      </c>
      <c r="D1" s="9" t="inlineStr">
        <is>
          <t>Parcial</t>
        </is>
      </c>
      <c r="E1" s="9" t="inlineStr">
        <is>
          <t>Pendiente</t>
        </is>
      </c>
      <c r="F1" s="9" t="inlineStr">
        <is>
          <t>N.A.</t>
        </is>
      </c>
      <c r="G1" s="9" t="inlineStr">
        <is>
          <t>% implementado (sin N.A.)</t>
        </is>
      </c>
    </row>
    <row r="2">
      <c r="A2" t="inlineStr">
        <is>
          <t>Gobernar</t>
        </is>
      </c>
      <c r="B2">
        <f>COUNTIF('Controles MCU5'!$A$2:$A$48,A2)</f>
        <v/>
      </c>
      <c r="C2">
        <f>COUNTIFS('Controles MCU5'!$A$2:$A$48,$A2,'Controles MCU5'!$G$2:$G$48,"Implementado")</f>
        <v/>
      </c>
      <c r="D2">
        <f>COUNTIFS('Controles MCU5'!$A$2:$A$48,$A2,'Controles MCU5'!$G$2:$G$48,"Parcial")</f>
        <v/>
      </c>
      <c r="E2">
        <f>COUNTIFS('Controles MCU5'!$A$2:$A$48,$A2,'Controles MCU5'!$G$2:$G$48,"Pendiente")</f>
        <v/>
      </c>
      <c r="F2">
        <f>COUNTIFS('Controles MCU5'!$A$2:$A$48,$A2,'Controles MCU5'!$G$2:$G$48,"N.A.")</f>
        <v/>
      </c>
      <c r="G2" s="10">
        <f>IF(B2-F2=0,0,C2/(B2-F2))</f>
        <v/>
      </c>
    </row>
    <row r="3">
      <c r="A3" t="inlineStr">
        <is>
          <t>Identificar</t>
        </is>
      </c>
      <c r="B3">
        <f>COUNTIF('Controles MCU5'!$A$2:$A$48,A3)</f>
        <v/>
      </c>
      <c r="C3">
        <f>COUNTIFS('Controles MCU5'!$A$2:$A$48,$A3,'Controles MCU5'!$G$2:$G$48,"Implementado")</f>
        <v/>
      </c>
      <c r="D3">
        <f>COUNTIFS('Controles MCU5'!$A$2:$A$48,$A3,'Controles MCU5'!$G$2:$G$48,"Parcial")</f>
        <v/>
      </c>
      <c r="E3">
        <f>COUNTIFS('Controles MCU5'!$A$2:$A$48,$A3,'Controles MCU5'!$G$2:$G$48,"Pendiente")</f>
        <v/>
      </c>
      <c r="F3">
        <f>COUNTIFS('Controles MCU5'!$A$2:$A$48,$A3,'Controles MCU5'!$G$2:$G$48,"N.A.")</f>
        <v/>
      </c>
      <c r="G3" s="10">
        <f>IF(B3-F3=0,0,C3/(B3-F3))</f>
        <v/>
      </c>
    </row>
    <row r="4">
      <c r="A4" t="inlineStr">
        <is>
          <t>Proteger</t>
        </is>
      </c>
      <c r="B4">
        <f>COUNTIF('Controles MCU5'!$A$2:$A$48,A4)</f>
        <v/>
      </c>
      <c r="C4">
        <f>COUNTIFS('Controles MCU5'!$A$2:$A$48,$A4,'Controles MCU5'!$G$2:$G$48,"Implementado")</f>
        <v/>
      </c>
      <c r="D4">
        <f>COUNTIFS('Controles MCU5'!$A$2:$A$48,$A4,'Controles MCU5'!$G$2:$G$48,"Parcial")</f>
        <v/>
      </c>
      <c r="E4">
        <f>COUNTIFS('Controles MCU5'!$A$2:$A$48,$A4,'Controles MCU5'!$G$2:$G$48,"Pendiente")</f>
        <v/>
      </c>
      <c r="F4">
        <f>COUNTIFS('Controles MCU5'!$A$2:$A$48,$A4,'Controles MCU5'!$G$2:$G$48,"N.A.")</f>
        <v/>
      </c>
      <c r="G4" s="10">
        <f>IF(B4-F4=0,0,C4/(B4-F4))</f>
        <v/>
      </c>
    </row>
    <row r="5">
      <c r="A5" t="inlineStr">
        <is>
          <t>Detectar</t>
        </is>
      </c>
      <c r="B5">
        <f>COUNTIF('Controles MCU5'!$A$2:$A$48,A5)</f>
        <v/>
      </c>
      <c r="C5">
        <f>COUNTIFS('Controles MCU5'!$A$2:$A$48,$A5,'Controles MCU5'!$G$2:$G$48,"Implementado")</f>
        <v/>
      </c>
      <c r="D5">
        <f>COUNTIFS('Controles MCU5'!$A$2:$A$48,$A5,'Controles MCU5'!$G$2:$G$48,"Parcial")</f>
        <v/>
      </c>
      <c r="E5">
        <f>COUNTIFS('Controles MCU5'!$A$2:$A$48,$A5,'Controles MCU5'!$G$2:$G$48,"Pendiente")</f>
        <v/>
      </c>
      <c r="F5">
        <f>COUNTIFS('Controles MCU5'!$A$2:$A$48,$A5,'Controles MCU5'!$G$2:$G$48,"N.A.")</f>
        <v/>
      </c>
      <c r="G5" s="10">
        <f>IF(B5-F5=0,0,C5/(B5-F5))</f>
        <v/>
      </c>
    </row>
    <row r="6">
      <c r="A6" t="inlineStr">
        <is>
          <t>Responder</t>
        </is>
      </c>
      <c r="B6">
        <f>COUNTIF('Controles MCU5'!$A$2:$A$48,A6)</f>
        <v/>
      </c>
      <c r="C6">
        <f>COUNTIFS('Controles MCU5'!$A$2:$A$48,$A6,'Controles MCU5'!$G$2:$G$48,"Implementado")</f>
        <v/>
      </c>
      <c r="D6">
        <f>COUNTIFS('Controles MCU5'!$A$2:$A$48,$A6,'Controles MCU5'!$G$2:$G$48,"Parcial")</f>
        <v/>
      </c>
      <c r="E6">
        <f>COUNTIFS('Controles MCU5'!$A$2:$A$48,$A6,'Controles MCU5'!$G$2:$G$48,"Pendiente")</f>
        <v/>
      </c>
      <c r="F6">
        <f>COUNTIFS('Controles MCU5'!$A$2:$A$48,$A6,'Controles MCU5'!$G$2:$G$48,"N.A.")</f>
        <v/>
      </c>
      <c r="G6" s="10">
        <f>IF(B6-F6=0,0,C6/(B6-F6))</f>
        <v/>
      </c>
    </row>
    <row r="7">
      <c r="A7" t="inlineStr">
        <is>
          <t>Recuperar</t>
        </is>
      </c>
      <c r="B7">
        <f>COUNTIF('Controles MCU5'!$A$2:$A$48,A7)</f>
        <v/>
      </c>
      <c r="C7">
        <f>COUNTIFS('Controles MCU5'!$A$2:$A$48,$A7,'Controles MCU5'!$G$2:$G$48,"Implementado")</f>
        <v/>
      </c>
      <c r="D7">
        <f>COUNTIFS('Controles MCU5'!$A$2:$A$48,$A7,'Controles MCU5'!$G$2:$G$48,"Parcial")</f>
        <v/>
      </c>
      <c r="E7">
        <f>COUNTIFS('Controles MCU5'!$A$2:$A$48,$A7,'Controles MCU5'!$G$2:$G$48,"Pendiente")</f>
        <v/>
      </c>
      <c r="F7">
        <f>COUNTIFS('Controles MCU5'!$A$2:$A$48,$A7,'Controles MCU5'!$G$2:$G$48,"N.A.")</f>
        <v/>
      </c>
      <c r="G7" s="10">
        <f>IF(B7-F7=0,0,C7/(B7-F7))</f>
        <v/>
      </c>
    </row>
    <row r="8">
      <c r="A8" s="11" t="inlineStr">
        <is>
          <t>Total</t>
        </is>
      </c>
      <c r="B8" s="11">
        <f>SUM(B2:B7)</f>
        <v/>
      </c>
      <c r="C8" s="11">
        <f>SUM(C2:C7)</f>
        <v/>
      </c>
      <c r="D8" s="11">
        <f>SUM(D2:D7)</f>
        <v/>
      </c>
      <c r="E8" s="11">
        <f>SUM(E2:E7)</f>
        <v/>
      </c>
      <c r="F8" s="11">
        <f>SUM(F2:F7)</f>
        <v/>
      </c>
      <c r="G8" s="10">
        <f>IF(B8-F8=0,0,C8/(B8-F8))</f>
        <v/>
      </c>
    </row>
    <row r="10">
      <c r="A10" s="12" t="inlineStr">
        <is>
          <t>Fuente: columna "Estado al 07/10/2026" de la hoja Controles MCU5. "Aplica" (col. C) indica si el control corresponde; el estado indica cuánto está implementado.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2026-10-14T01:15:07Z</dcterms:modified>
</cp:coreProperties>
</file>